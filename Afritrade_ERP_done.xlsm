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afritrade\"/>
    </mc:Choice>
  </mc:AlternateContent>
  <xr:revisionPtr revIDLastSave="0" documentId="13_ncr:1_{E700F7C3-DF64-4A4F-9533-5795855ED0F1}" xr6:coauthVersionLast="47" xr6:coauthVersionMax="47" xr10:uidLastSave="{00000000-0000-0000-0000-000000000000}"/>
  <bookViews>
    <workbookView xWindow="-110" yWindow="-110" windowWidth="19420" windowHeight="10300" activeTab="2" xr2:uid="{919C3C29-37A6-4456-A838-1F83AF0912E8}"/>
  </bookViews>
  <sheets>
    <sheet name="Dashboard" sheetId="1" r:id="rId1"/>
    <sheet name="Inventory" sheetId="2" r:id="rId2"/>
    <sheet name="SalesOrders" sheetId="3" r:id="rId3"/>
    <sheet name="Purchases" sheetId="4" r:id="rId4"/>
    <sheet name="Customers" sheetId="5" r:id="rId5"/>
    <sheet name="ErrorLog" sheetId="6" r:id="rId6"/>
  </sheets>
  <definedNames>
    <definedName name="_xlnm._FilterDatabase" localSheetId="1" hidden="1">Inventory!$A$1:$K$21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" l="1"/>
  <c r="E4" i="1"/>
  <c r="E3" i="1"/>
  <c r="G2" i="2"/>
  <c r="G6" i="2"/>
  <c r="G5" i="2"/>
  <c r="G19" i="2"/>
  <c r="G3" i="2"/>
  <c r="G4" i="2"/>
  <c r="G7" i="2"/>
  <c r="G8" i="2"/>
  <c r="G9" i="2"/>
  <c r="G10" i="2"/>
  <c r="G11" i="2"/>
  <c r="G12" i="2"/>
  <c r="G13" i="2"/>
  <c r="G14" i="2"/>
  <c r="G15" i="2"/>
  <c r="G16" i="2"/>
  <c r="G17" i="2"/>
  <c r="G18" i="2"/>
  <c r="G20" i="2"/>
  <c r="G21" i="2"/>
  <c r="E2" i="5"/>
  <c r="E3" i="5"/>
  <c r="E4" i="5"/>
  <c r="E5" i="5"/>
  <c r="E6" i="5"/>
  <c r="E7" i="5"/>
  <c r="E8" i="5"/>
  <c r="E9" i="5"/>
  <c r="E10" i="5"/>
  <c r="E11" i="5"/>
  <c r="E12" i="5"/>
  <c r="E13" i="5"/>
</calcChain>
</file>

<file path=xl/sharedStrings.xml><?xml version="1.0" encoding="utf-8"?>
<sst xmlns="http://schemas.openxmlformats.org/spreadsheetml/2006/main" count="401" uniqueCount="205">
  <si>
    <t>Product_ID</t>
  </si>
  <si>
    <t>Product_Name</t>
  </si>
  <si>
    <t>Category</t>
  </si>
  <si>
    <t>Unit_Price</t>
  </si>
  <si>
    <t>Currency</t>
  </si>
  <si>
    <t>Price_USD_Equiv</t>
  </si>
  <si>
    <t>Qty_In_Stock</t>
  </si>
  <si>
    <t>Reorder_Level</t>
  </si>
  <si>
    <t>Supplier_ID</t>
  </si>
  <si>
    <t>Unit</t>
  </si>
  <si>
    <t>PRD-001</t>
  </si>
  <si>
    <t>Office Desk Chair</t>
  </si>
  <si>
    <t>Furniture</t>
  </si>
  <si>
    <t>USD</t>
  </si>
  <si>
    <t>SUP-001</t>
  </si>
  <si>
    <t>piece</t>
  </si>
  <si>
    <t>PRD-002</t>
  </si>
  <si>
    <t>A4 Paper Ream</t>
  </si>
  <si>
    <t>Stationery</t>
  </si>
  <si>
    <t>SUP-002</t>
  </si>
  <si>
    <t>ream</t>
  </si>
  <si>
    <t>PRD-003</t>
  </si>
  <si>
    <t>Printer Ink Cartridge</t>
  </si>
  <si>
    <t>Electronics</t>
  </si>
  <si>
    <t>SUP-003</t>
  </si>
  <si>
    <t>PRD-004</t>
  </si>
  <si>
    <t>USB-C Cable 1m</t>
  </si>
  <si>
    <t>PRD-005</t>
  </si>
  <si>
    <t>Laptop Charger 65W</t>
  </si>
  <si>
    <t>PRD-006</t>
  </si>
  <si>
    <t>Wireless Mouse</t>
  </si>
  <si>
    <t>PRD-007</t>
  </si>
  <si>
    <t>Ergonomic Keyboard</t>
  </si>
  <si>
    <t>EUR</t>
  </si>
  <si>
    <t>SUP-004</t>
  </si>
  <si>
    <t>PRD-008</t>
  </si>
  <si>
    <t>HDMI Cable 2m</t>
  </si>
  <si>
    <t>PRD-009</t>
  </si>
  <si>
    <t>Standing Desk</t>
  </si>
  <si>
    <t>PRD-010</t>
  </si>
  <si>
    <t>Whiteboard A1</t>
  </si>
  <si>
    <t>Office Supplies</t>
  </si>
  <si>
    <t>GBP</t>
  </si>
  <si>
    <t>PRD-011</t>
  </si>
  <si>
    <t>Ballpoint Pens (Box of 50)</t>
  </si>
  <si>
    <t>box</t>
  </si>
  <si>
    <t>PRD-012</t>
  </si>
  <si>
    <t>Filing Cabinet</t>
  </si>
  <si>
    <t>PRD-013</t>
  </si>
  <si>
    <t>Label Printer</t>
  </si>
  <si>
    <t>SUP-005</t>
  </si>
  <si>
    <t>PRD-014</t>
  </si>
  <si>
    <t>Heavy Duty Stapler</t>
  </si>
  <si>
    <t>PRD-015</t>
  </si>
  <si>
    <t>Laptop Stand</t>
  </si>
  <si>
    <t>PRD-016</t>
  </si>
  <si>
    <t>Monitor 24-inch</t>
  </si>
  <si>
    <t>PRD-017</t>
  </si>
  <si>
    <t>Desk Lamp LED</t>
  </si>
  <si>
    <t>PRD-018</t>
  </si>
  <si>
    <t>Conference Phone</t>
  </si>
  <si>
    <t>PRD-019</t>
  </si>
  <si>
    <t>Shredder A4</t>
  </si>
  <si>
    <t>PRD-020</t>
  </si>
  <si>
    <t>Solar Panel 100W</t>
  </si>
  <si>
    <t>Energy</t>
  </si>
  <si>
    <t>SUP-006</t>
  </si>
  <si>
    <t>Customer_ID</t>
  </si>
  <si>
    <t>Company_Name</t>
  </si>
  <si>
    <t>Contact_Person</t>
  </si>
  <si>
    <t>Email</t>
  </si>
  <si>
    <t>Phone</t>
  </si>
  <si>
    <t>City</t>
  </si>
  <si>
    <t>Country</t>
  </si>
  <si>
    <t>Credit_Limit_USD</t>
  </si>
  <si>
    <t>CUST-001</t>
  </si>
  <si>
    <t>TechNova Ltd</t>
  </si>
  <si>
    <t>Emeka Okonkwo</t>
  </si>
  <si>
    <t>emeka@technova.ng</t>
  </si>
  <si>
    <t>Lagos</t>
  </si>
  <si>
    <t>Nigeria</t>
  </si>
  <si>
    <t>CUST-002</t>
  </si>
  <si>
    <t>BrightOffice Supplies</t>
  </si>
  <si>
    <t>Ngozi Adeyemi</t>
  </si>
  <si>
    <t>ngozi@brightoffice.ng</t>
  </si>
  <si>
    <t>Abuja</t>
  </si>
  <si>
    <t>CUST-003</t>
  </si>
  <si>
    <t>DataCore Systems</t>
  </si>
  <si>
    <t>Aisha Musa</t>
  </si>
  <si>
    <t>aisha@datacore.ng</t>
  </si>
  <si>
    <t>Kano</t>
  </si>
  <si>
    <t>CUST-004</t>
  </si>
  <si>
    <t>ClearView Consult</t>
  </si>
  <si>
    <t>Tunde Babatunde</t>
  </si>
  <si>
    <t>tunde@clearview.ng</t>
  </si>
  <si>
    <t>CUST-005</t>
  </si>
  <si>
    <t>PanAfrica Trade</t>
  </si>
  <si>
    <t>Kofi Mensah</t>
  </si>
  <si>
    <t>kofi@panafrica.gh</t>
  </si>
  <si>
    <t>Accra</t>
  </si>
  <si>
    <t>Ghana</t>
  </si>
  <si>
    <t>CUST-006</t>
  </si>
  <si>
    <t>Sahel Solutions</t>
  </si>
  <si>
    <t>Mamadou Diallo</t>
  </si>
  <si>
    <t>mamadou@sahel.sn</t>
  </si>
  <si>
    <t>Dakar</t>
  </si>
  <si>
    <t>Senegal</t>
  </si>
  <si>
    <t>CUST-007</t>
  </si>
  <si>
    <t>NileEdge Corp</t>
  </si>
  <si>
    <t>Sara El-Amin</t>
  </si>
  <si>
    <t>sara@nileedge.eg</t>
  </si>
  <si>
    <t>Cairo</t>
  </si>
  <si>
    <t>Egypt</t>
  </si>
  <si>
    <t>CUST-008</t>
  </si>
  <si>
    <t>LagosWorks Hub</t>
  </si>
  <si>
    <t>Folake Coker</t>
  </si>
  <si>
    <t>folake@lagosworks.ng</t>
  </si>
  <si>
    <t>CUST-009</t>
  </si>
  <si>
    <t>AlphaSupply GH</t>
  </si>
  <si>
    <t>Kwame Asante</t>
  </si>
  <si>
    <t>kwame@alphasupply.gh</t>
  </si>
  <si>
    <t>Kumasi</t>
  </si>
  <si>
    <t>CUST-010</t>
  </si>
  <si>
    <t>MidStar Trading</t>
  </si>
  <si>
    <t>Hauwa Ibrahim</t>
  </si>
  <si>
    <t>hauwa@midstar.ng</t>
  </si>
  <si>
    <t>Kaduna</t>
  </si>
  <si>
    <t>CUST-011</t>
  </si>
  <si>
    <t>BluePeak Ventures</t>
  </si>
  <si>
    <t>Chinwe Eze</t>
  </si>
  <si>
    <t>chinwe@bluepeak.ng</t>
  </si>
  <si>
    <t>Enugu</t>
  </si>
  <si>
    <t>CUST-012</t>
  </si>
  <si>
    <t>GreenEnergy NG</t>
  </si>
  <si>
    <t>Seun Adeleke</t>
  </si>
  <si>
    <t>seun@greenenergy.ng</t>
  </si>
  <si>
    <t>Qty_Ordered</t>
  </si>
  <si>
    <t>PO_ID</t>
  </si>
  <si>
    <t>PO_Date</t>
  </si>
  <si>
    <t>Qty_Received</t>
  </si>
  <si>
    <t>Unit_Cost</t>
  </si>
  <si>
    <t>Total_Cost</t>
  </si>
  <si>
    <t>Status</t>
  </si>
  <si>
    <t>Notes</t>
  </si>
  <si>
    <t>PO-001</t>
  </si>
  <si>
    <t>Received</t>
  </si>
  <si>
    <t>Restocked Laptop Charger</t>
  </si>
  <si>
    <t>PO-002</t>
  </si>
  <si>
    <t>A4 Paper bulk order</t>
  </si>
  <si>
    <t>PO-003</t>
  </si>
  <si>
    <t>EUR purchase — verify conversion</t>
  </si>
  <si>
    <t>PO-004</t>
  </si>
  <si>
    <t>PO-005</t>
  </si>
  <si>
    <t>GBP purchase</t>
  </si>
  <si>
    <t>PO-006</t>
  </si>
  <si>
    <t>PO-007</t>
  </si>
  <si>
    <t>Pending</t>
  </si>
  <si>
    <t>Awaiting delivery</t>
  </si>
  <si>
    <t>PO-008</t>
  </si>
  <si>
    <t>⚠️ RESTOCK TEST: After receiving, PRD-003 qty must increase by 200</t>
  </si>
  <si>
    <t>Timestamp</t>
  </si>
  <si>
    <t>Module</t>
  </si>
  <si>
    <t>Error_Code</t>
  </si>
  <si>
    <t>Description</t>
  </si>
  <si>
    <t>Order_ID</t>
  </si>
  <si>
    <t>Order_Date</t>
  </si>
  <si>
    <t>Invoice_Currency</t>
  </si>
  <si>
    <t>Line_Total</t>
  </si>
  <si>
    <t>NGN_Total</t>
  </si>
  <si>
    <t>SO-001</t>
  </si>
  <si>
    <t>Completed</t>
  </si>
  <si>
    <t>SO-002</t>
  </si>
  <si>
    <t>SO-003</t>
  </si>
  <si>
    <t>SO-004</t>
  </si>
  <si>
    <t>EUR pricing — VBA must convert</t>
  </si>
  <si>
    <t>SO-005</t>
  </si>
  <si>
    <t>SO-006</t>
  </si>
  <si>
    <t>GBP pricing — VBA must convert</t>
  </si>
  <si>
    <t>SO-007</t>
  </si>
  <si>
    <t>SO-008</t>
  </si>
  <si>
    <t>SO-009</t>
  </si>
  <si>
    <t>EUR pricing</t>
  </si>
  <si>
    <t>SO-010</t>
  </si>
  <si>
    <t>SO-011</t>
  </si>
  <si>
    <t>USD — live FX test scenario</t>
  </si>
  <si>
    <t>SO-012</t>
  </si>
  <si>
    <t>SO-013</t>
  </si>
  <si>
    <t>GBP — VBA FX test</t>
  </si>
  <si>
    <t>SO-014</t>
  </si>
  <si>
    <t>SO-015</t>
  </si>
  <si>
    <t>BLOCKED</t>
  </si>
  <si>
    <t>⚠️ STOCK GUARD TEST: Only 35 in stock. VBA must block.</t>
  </si>
  <si>
    <t>Price_NGN_Equiv</t>
  </si>
  <si>
    <t>AfriTrade ERP Dashboard</t>
  </si>
  <si>
    <t>Total Revenue (NGN)</t>
  </si>
  <si>
    <t>Total Orders</t>
  </si>
  <si>
    <t>Pending Orders</t>
  </si>
  <si>
    <t>Blocked Orders</t>
  </si>
  <si>
    <t>Low Stock Products</t>
  </si>
  <si>
    <t>Count</t>
  </si>
  <si>
    <t>Life FX Rate</t>
  </si>
  <si>
    <t>FX_FetchRate</t>
  </si>
  <si>
    <t>Type mismatch</t>
  </si>
  <si>
    <t>SO-020</t>
  </si>
  <si>
    <t>SO-021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</si>
</sst>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₦-46A]* #,##0.00_-;\-[$₦-46A]* #,##0.00_-;_-[$₦-46A]* &quot;-&quot;??_-;_-@_-"/>
    <numFmt numFmtId="165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/>
    <xf numFmtId="14" fontId="0" fillId="0" borderId="0" xfId="0" applyNumberFormat="1"/>
    <xf numFmtId="164" fontId="0" fillId="0" borderId="0" xfId="0" applyNumberFormat="1"/>
    <xf numFmtId="49" fontId="0" fillId="0" borderId="0" xfId="0" applyNumberFormat="1"/>
    <xf numFmtId="165" fontId="0" fillId="0" borderId="0" xfId="0" applyNumberFormat="1"/>
    <xf numFmtId="0" fontId="0" fillId="0" borderId="0" xfId="0" applyAlignment="1">
      <alignment vertical="center" wrapText="1"/>
    </xf>
    <xf numFmtId="0" fontId="3" fillId="0" borderId="0" xfId="0" applyFont="1"/>
    <xf numFmtId="0" fontId="0" fillId="2" borderId="1" xfId="0" applyFill="1" applyBorder="1" applyAlignment="1">
      <alignment vertical="center" wrapText="1"/>
    </xf>
    <xf numFmtId="164" fontId="0" fillId="2" borderId="1" xfId="0" applyNumberFormat="1" applyFill="1" applyBorder="1"/>
    <xf numFmtId="0" fontId="0" fillId="2" borderId="1" xfId="0" applyFill="1" applyBorder="1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0" fillId="2" borderId="2" xfId="0" applyFill="1" applyBorder="1"/>
    <xf numFmtId="22" fontId="0" fillId="0" borderId="0" xfId="0" applyNumberFormat="1"/>
    <xf numFmtId="2" fontId="0" fillId="0" borderId="0" xfId="0" applyNumberFormat="1"/>
  </cellXfs>
  <cellStyles count="2">
    <cellStyle name="Normal" xfId="0" builtinId="0"/>
    <cellStyle name="Normal 2" xfId="1" xr:uid="{A00D5CA5-C20A-4159-BDF9-8B58B6C3478B}"/>
  </cellStyles>
  <dxfs count="11">
    <dxf>
      <font>
        <color rgb="FF9C0006"/>
      </font>
      <fill>
        <patternFill>
          <bgColor rgb="FFFFC7CE"/>
        </patternFill>
      </fill>
    </dxf>
    <dxf>
      <numFmt numFmtId="19" formatCode="m/d/yyyy"/>
    </dxf>
    <dxf>
      <numFmt numFmtId="164" formatCode="_-[$₦-46A]* #,##0.00_-;\-[$₦-46A]* #,##0.00_-;_-[$₦-46A]* &quot;-&quot;??_-;_-@_-"/>
    </dxf>
    <dxf>
      <numFmt numFmtId="2" formatCode="0.00"/>
    </dxf>
    <dxf>
      <numFmt numFmtId="2" formatCode="0.00"/>
    </dxf>
    <dxf>
      <numFmt numFmtId="30" formatCode="@"/>
    </dxf>
    <dxf>
      <numFmt numFmtId="2" formatCode="0.00"/>
    </dxf>
    <dxf>
      <numFmt numFmtId="19" formatCode="m/d/yyyy"/>
    </dxf>
    <dxf>
      <numFmt numFmtId="164" formatCode="_-[$₦-46A]* #,##0.00_-;\-[$₦-46A]* #,##0.00_-;_-[$₦-46A]* &quot;-&quot;??_-;_-@_-"/>
    </dxf>
    <dxf>
      <numFmt numFmtId="165" formatCode="&quot;$&quot;#,##0.00"/>
    </dxf>
    <dxf>
      <numFmt numFmtId="27" formatCode="m/d/yyyy\ 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Orders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Dashboard!$E$2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035-4B81-BE69-C26DE9FD913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035-4B81-BE69-C26DE9FD913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035-4B81-BE69-C26DE9FD9136}"/>
              </c:ext>
            </c:extLst>
          </c:dPt>
          <c:cat>
            <c:strRef>
              <c:f>Dashboard!$D$3:$D$5</c:f>
              <c:strCache>
                <c:ptCount val="3"/>
                <c:pt idx="0">
                  <c:v>Completed</c:v>
                </c:pt>
                <c:pt idx="1">
                  <c:v>Pending</c:v>
                </c:pt>
                <c:pt idx="2">
                  <c:v>BLOCKED</c:v>
                </c:pt>
              </c:strCache>
            </c:strRef>
          </c:cat>
          <c:val>
            <c:numRef>
              <c:f>Dashboard!$E$3:$E$5</c:f>
              <c:numCache>
                <c:formatCode>General</c:formatCode>
                <c:ptCount val="3"/>
                <c:pt idx="0">
                  <c:v>12</c:v>
                </c:pt>
                <c:pt idx="1">
                  <c:v>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FC-4219-A86E-CBF21911C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Revenue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23037228866849"/>
          <c:y val="0.20772230957696819"/>
          <c:w val="0.82867546217249832"/>
          <c:h val="0.60853674540682412"/>
        </c:manualLayout>
      </c:layout>
      <c:lineChart>
        <c:grouping val="standard"/>
        <c:varyColors val="0"/>
        <c:ser>
          <c:idx val="0"/>
          <c:order val="0"/>
          <c:tx>
            <c:strRef>
              <c:f>SalesOrders!$I$1</c:f>
              <c:strCache>
                <c:ptCount val="1"/>
                <c:pt idx="0">
                  <c:v>NGN_Total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SalesOrders!$B$2:$B$18</c:f>
              <c:numCache>
                <c:formatCode>m/d/yyyy</c:formatCode>
                <c:ptCount val="17"/>
                <c:pt idx="0">
                  <c:v>45662</c:v>
                </c:pt>
                <c:pt idx="1">
                  <c:v>45665</c:v>
                </c:pt>
                <c:pt idx="2">
                  <c:v>45667</c:v>
                </c:pt>
                <c:pt idx="3">
                  <c:v>45671</c:v>
                </c:pt>
                <c:pt idx="4">
                  <c:v>45674</c:v>
                </c:pt>
                <c:pt idx="5">
                  <c:v>45677</c:v>
                </c:pt>
                <c:pt idx="6">
                  <c:v>45679</c:v>
                </c:pt>
                <c:pt idx="7">
                  <c:v>45682</c:v>
                </c:pt>
                <c:pt idx="8">
                  <c:v>45685</c:v>
                </c:pt>
                <c:pt idx="9">
                  <c:v>45689</c:v>
                </c:pt>
                <c:pt idx="10">
                  <c:v>45691</c:v>
                </c:pt>
                <c:pt idx="11">
                  <c:v>45693</c:v>
                </c:pt>
                <c:pt idx="12">
                  <c:v>45694</c:v>
                </c:pt>
                <c:pt idx="13">
                  <c:v>45696</c:v>
                </c:pt>
                <c:pt idx="14">
                  <c:v>45698</c:v>
                </c:pt>
                <c:pt idx="15">
                  <c:v>46120.744837962964</c:v>
                </c:pt>
                <c:pt idx="16">
                  <c:v>46120.752939814818</c:v>
                </c:pt>
              </c:numCache>
            </c:numRef>
          </c:cat>
          <c:val>
            <c:numRef>
              <c:f>SalesOrders!$I$2:$I$18</c:f>
              <c:numCache>
                <c:formatCode>_-[$₦-46A]* #,##0.00_-;\-[$₦-46A]* #,##0.00_-;_-[$₦-46A]* "-"??_-;_-@_-</c:formatCode>
                <c:ptCount val="17"/>
                <c:pt idx="15">
                  <c:v>9672.3884180000005</c:v>
                </c:pt>
                <c:pt idx="16">
                  <c:v>45067.710604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3D-4B9D-BC7C-4232DAF33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3677616"/>
        <c:axId val="1763678576"/>
      </c:lineChart>
      <c:dateAx>
        <c:axId val="1763677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3678576"/>
        <c:crosses val="autoZero"/>
        <c:auto val="1"/>
        <c:lblOffset val="100"/>
        <c:baseTimeUnit val="days"/>
      </c:dateAx>
      <c:valAx>
        <c:axId val="17636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₦-46A]* #,##0.00_-;\-[$₦-46A]* #,##0.00_-;_-[$₦-46A]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3677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171450</xdr:rowOff>
    </xdr:from>
    <xdr:to>
      <xdr:col>4</xdr:col>
      <xdr:colOff>250825</xdr:colOff>
      <xdr:row>25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60C611-9F28-47D4-0749-97A06270E4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414184</xdr:colOff>
      <xdr:row>10</xdr:row>
      <xdr:rowOff>179643</xdr:rowOff>
    </xdr:from>
    <xdr:to>
      <xdr:col>10</xdr:col>
      <xdr:colOff>339148</xdr:colOff>
      <xdr:row>27</xdr:row>
      <xdr:rowOff>7989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25ABF96B-8212-7966-C0FD-70C792FAD3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21</xdr:row>
          <xdr:rowOff>101600</xdr:rowOff>
        </xdr:from>
        <xdr:to>
          <xdr:col>2</xdr:col>
          <xdr:colOff>234950</xdr:colOff>
          <xdr:row>24</xdr:row>
          <xdr:rowOff>63500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Order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E4A17D-BBD3-4FF7-BEB5-7B78A8FCEB1F}" name="Table1" displayName="Table1" ref="A1:K21" totalsRowShown="0">
  <autoFilter ref="A1:K21" xr:uid="{E0E919CB-67F3-497D-8C4C-E67977D8CA78}"/>
  <tableColumns count="11">
    <tableColumn id="1" xr3:uid="{DC68AD5D-7A44-4EE1-BD71-61E8DE4D6283}" name="Product_ID"/>
    <tableColumn id="2" xr3:uid="{9F15DD1E-AA8E-4C5B-9700-65BFD4AFCEFF}" name="Product_Name"/>
    <tableColumn id="3" xr3:uid="{C9EB4DAD-5AF5-40DA-9614-9582BB3A6A95}" name="Category"/>
    <tableColumn id="4" xr3:uid="{44483CEF-EA8F-470F-8B09-0195FD9DE353}" name="Unit_Price"/>
    <tableColumn id="5" xr3:uid="{C894CCD9-6692-42AA-8C45-5299572593C2}" name="Currency"/>
    <tableColumn id="6" xr3:uid="{58178DDF-3D38-41C5-85C2-EF26DD9B67F4}" name="Price_USD_Equiv" dataDxfId="9"/>
    <tableColumn id="7" xr3:uid="{1B79C932-0FAA-46B0-B42C-6FC9B4F0908E}" name="Price_NGN_Equiv" dataDxfId="8">
      <calculatedColumnFormula>F2*780</calculatedColumnFormula>
    </tableColumn>
    <tableColumn id="8" xr3:uid="{F1A75344-8217-4EE1-A6AD-69770CCDBDA5}" name="Qty_In_Stock"/>
    <tableColumn id="9" xr3:uid="{D390F688-39DC-43BF-BF85-0EA10CAE5DB4}" name="Reorder_Level"/>
    <tableColumn id="10" xr3:uid="{0678FBAB-98EA-48AB-83F8-8E9589A1AD51}" name="Supplier_ID"/>
    <tableColumn id="11" xr3:uid="{546F95FC-29A6-498E-8A56-E97F57D02EDE}" name="Unit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F5FF85-C1E8-4168-85AF-AE71C1C38246}" name="Table2" displayName="Table2" ref="A1:K18" totalsRowShown="0">
  <autoFilter ref="A1:K18" xr:uid="{8EF5FF85-C1E8-4168-85AF-AE71C1C38246}"/>
  <tableColumns count="11">
    <tableColumn id="1" xr3:uid="{E2EDC14B-C669-403C-91D4-51855DBFD9C4}" name="Order_ID"/>
    <tableColumn id="2" xr3:uid="{C6088415-C974-4870-A834-C87130370ECB}" name="Order_Date" dataDxfId="7"/>
    <tableColumn id="3" xr3:uid="{253F142C-9420-4736-8943-287786279FF1}" name="Customer_ID"/>
    <tableColumn id="4" xr3:uid="{5699CB7C-533C-4671-B826-B8C4AB2160F2}" name="Product_ID"/>
    <tableColumn id="5" xr3:uid="{985DBD2F-9BC7-4585-AFB8-567A00BC2670}" name="Qty_Ordered" dataDxfId="6"/>
    <tableColumn id="6" xr3:uid="{E5A20929-A8E2-4E14-B494-43C5DE070BF9}" name="Invoice_Currency" dataDxfId="5"/>
    <tableColumn id="7" xr3:uid="{F4989CAE-2D39-4B06-8E09-65A8829ADC71}" name="Unit_Price" dataDxfId="4"/>
    <tableColumn id="8" xr3:uid="{3E4A0C32-0277-4CF1-881D-84712E7E5465}" name="Line_Total" dataDxfId="3"/>
    <tableColumn id="9" xr3:uid="{818700FE-54A0-4E3B-B4F4-DE156E317B44}" name="NGN_Total" dataDxfId="2"/>
    <tableColumn id="10" xr3:uid="{32E8D044-A14C-4619-BF9B-DCDF3557B6E4}" name="Status"/>
    <tableColumn id="11" xr3:uid="{B3A80B4D-D177-4422-B1FE-906FC6C0335E}" name="Notes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66BEB9-5577-465C-A86A-EB0C4B7E6494}" name="Table4" displayName="Table4" ref="A1:J9" totalsRowShown="0">
  <autoFilter ref="A1:J9" xr:uid="{4566BEB9-5577-465C-A86A-EB0C4B7E6494}"/>
  <tableColumns count="10">
    <tableColumn id="1" xr3:uid="{4B100A98-927F-4F60-B258-1363598ADE5C}" name="PO_ID"/>
    <tableColumn id="2" xr3:uid="{95C003BF-B4D4-40F5-9B31-A7DA7AC0D040}" name="PO_Date" dataDxfId="1"/>
    <tableColumn id="3" xr3:uid="{AB5E0D3C-5429-4E08-9E79-648D7B292CD6}" name="Supplier_ID"/>
    <tableColumn id="4" xr3:uid="{C7EEA2E7-EAEE-4618-B081-B28D30757139}" name="Product_ID"/>
    <tableColumn id="5" xr3:uid="{BAA61903-B830-4CC3-910A-BB6F5936359D}" name="Qty_Received"/>
    <tableColumn id="6" xr3:uid="{CCBDFA82-2ACA-4913-9976-9D825802B3ED}" name="Unit_Cost"/>
    <tableColumn id="7" xr3:uid="{A2368A9B-AAFD-4B14-B24A-B0A410AEAB7F}" name="Currency"/>
    <tableColumn id="8" xr3:uid="{76FC8542-6E96-4E94-9C6B-AE61B1BEC52D}" name="Total_Cost"/>
    <tableColumn id="9" xr3:uid="{0651E206-7D11-4AE7-B8F6-5D22BC6ABBB7}" name="Status"/>
    <tableColumn id="10" xr3:uid="{61D4674A-BCAA-4168-95CA-7FA838F1ACF4}" name="Notes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9FE8002-2FC2-43C2-B335-8AF9F59907AF}" name="Table5" displayName="Table5" ref="A1:H13" totalsRowShown="0">
  <autoFilter ref="A1:H13" xr:uid="{59FE8002-2FC2-43C2-B335-8AF9F59907AF}"/>
  <tableColumns count="8">
    <tableColumn id="1" xr3:uid="{BC884A56-F732-41A8-A865-07D2099E9F4D}" name="Customer_ID"/>
    <tableColumn id="2" xr3:uid="{0897C6AE-8741-4B01-9510-47E790263886}" name="Company_Name"/>
    <tableColumn id="3" xr3:uid="{A238FDE1-F1DC-46B5-A9B9-691F69855421}" name="Contact_Person"/>
    <tableColumn id="4" xr3:uid="{06447254-1BEE-401A-BE70-687C91558199}" name="Email"/>
    <tableColumn id="5" xr3:uid="{FB4840FF-A7DC-4A1E-96FD-DB656488F1F4}" name="Phone"/>
    <tableColumn id="6" xr3:uid="{C4159AC6-C3C5-424F-A147-80C066A04AF2}" name="City"/>
    <tableColumn id="7" xr3:uid="{C9419097-3006-4B0D-91B5-EC2690245846}" name="Country"/>
    <tableColumn id="8" xr3:uid="{4D1058FB-FAFE-492E-A38E-522E574A33CA}" name="Credit_Limit_USD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A6D0EC-A7B0-4305-8EC5-55660AA727EB}" name="Table6" displayName="Table6" ref="A1:D9" totalsRowShown="0">
  <autoFilter ref="A1:D9" xr:uid="{E0A6D0EC-A7B0-4305-8EC5-55660AA727EB}"/>
  <tableColumns count="4">
    <tableColumn id="1" xr3:uid="{A3858A88-E92D-4074-BD91-24814B973FFB}" name="Timestamp" dataDxfId="10"/>
    <tableColumn id="2" xr3:uid="{A0E3B5EE-1904-4A5B-AA00-9BB450459BAF}" name="Module"/>
    <tableColumn id="3" xr3:uid="{7C594541-9D15-4CC8-8FC8-298E1EE87033}" name="Error_Code"/>
    <tableColumn id="4" xr3:uid="{09D9EF1B-416D-4907-8F7A-0FC2CA630016}" name="Description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F202A-FFC3-42F7-A89D-415A25A1F0A5}">
  <sheetPr codeName="Sheet1"/>
  <dimension ref="A1:E7"/>
  <sheetViews>
    <sheetView topLeftCell="A8" zoomScale="88" workbookViewId="0">
      <selection activeCell="I3" sqref="I3"/>
    </sheetView>
  </sheetViews>
  <sheetFormatPr defaultRowHeight="14.5" x14ac:dyDescent="0.35"/>
  <cols>
    <col min="1" max="1" width="22.08984375" customWidth="1"/>
    <col min="2" max="2" width="10.1796875" customWidth="1"/>
    <col min="4" max="4" width="10.54296875" customWidth="1"/>
    <col min="5" max="5" width="13.1796875" customWidth="1"/>
  </cols>
  <sheetData>
    <row r="1" spans="1:5" ht="23.5" x14ac:dyDescent="0.55000000000000004">
      <c r="A1" s="6" t="s">
        <v>193</v>
      </c>
      <c r="D1" s="10"/>
      <c r="E1" s="10"/>
    </row>
    <row r="2" spans="1:5" x14ac:dyDescent="0.35">
      <c r="A2" s="7" t="s">
        <v>194</v>
      </c>
      <c r="B2" s="8">
        <v>54740.099022000002</v>
      </c>
      <c r="D2" s="11" t="s">
        <v>142</v>
      </c>
      <c r="E2" s="11" t="s">
        <v>199</v>
      </c>
    </row>
    <row r="3" spans="1:5" x14ac:dyDescent="0.35">
      <c r="A3" s="9" t="s">
        <v>195</v>
      </c>
      <c r="B3" s="8">
        <v>21</v>
      </c>
      <c r="D3" s="5" t="s">
        <v>170</v>
      </c>
      <c r="E3" s="5">
        <f>COUNTIF(SalesOrders!J:J,"Completed")</f>
        <v>12</v>
      </c>
    </row>
    <row r="4" spans="1:5" x14ac:dyDescent="0.35">
      <c r="A4" s="9" t="s">
        <v>196</v>
      </c>
      <c r="B4" s="8">
        <v>4</v>
      </c>
      <c r="D4" s="5" t="s">
        <v>156</v>
      </c>
      <c r="E4" s="5">
        <f>COUNTIF(SalesOrders!J:J,"Pending")</f>
        <v>4</v>
      </c>
    </row>
    <row r="5" spans="1:5" x14ac:dyDescent="0.35">
      <c r="A5" s="9" t="s">
        <v>197</v>
      </c>
      <c r="B5" s="8">
        <v>1</v>
      </c>
      <c r="D5" s="5" t="s">
        <v>190</v>
      </c>
      <c r="E5" s="5">
        <f>COUNTIF(SalesOrders!J:J,"BLOCKED")</f>
        <v>1</v>
      </c>
    </row>
    <row r="6" spans="1:5" x14ac:dyDescent="0.35">
      <c r="A6" s="9" t="s">
        <v>198</v>
      </c>
      <c r="B6" s="8">
        <v>20</v>
      </c>
    </row>
    <row r="7" spans="1:5" x14ac:dyDescent="0.35">
      <c r="A7" s="12" t="s">
        <v>200</v>
      </c>
      <c r="B7">
        <v>1609.561093</v>
      </c>
    </row>
  </sheetData>
  <conditionalFormatting sqref="B6">
    <cfRule type="cellIs" dxfId="0" priority="1" operator="greaterThan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919CB-67F3-497D-8C4C-E67977D8CA78}">
  <sheetPr codeName="Sheet2"/>
  <dimension ref="A1:K21"/>
  <sheetViews>
    <sheetView topLeftCell="A12" workbookViewId="0">
      <selection activeCell="C11" sqref="C11"/>
    </sheetView>
  </sheetViews>
  <sheetFormatPr defaultRowHeight="14.5" x14ac:dyDescent="0.35"/>
  <cols>
    <col min="1" max="1" width="12.08984375" customWidth="1"/>
    <col min="2" max="2" width="22.90625" customWidth="1"/>
    <col min="3" max="3" width="14.1796875" customWidth="1"/>
    <col min="4" max="4" width="11.1796875" customWidth="1"/>
    <col min="5" max="5" width="10.1796875" customWidth="1"/>
    <col min="6" max="6" width="16.81640625" style="4" customWidth="1"/>
    <col min="7" max="7" width="17.1796875" style="2" customWidth="1"/>
    <col min="8" max="8" width="14.54296875" customWidth="1"/>
    <col min="9" max="9" width="14.81640625" customWidth="1"/>
    <col min="10" max="10" width="12.453125" customWidth="1"/>
  </cols>
  <sheetData>
    <row r="1" spans="1:1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s="4" t="s">
        <v>5</v>
      </c>
      <c r="G1" s="3" t="s">
        <v>192</v>
      </c>
      <c r="H1" t="s">
        <v>6</v>
      </c>
      <c r="I1" t="s">
        <v>7</v>
      </c>
      <c r="J1" t="s">
        <v>8</v>
      </c>
      <c r="K1" t="s">
        <v>9</v>
      </c>
    </row>
    <row r="2" spans="1:11" x14ac:dyDescent="0.35">
      <c r="A2" t="s">
        <v>10</v>
      </c>
      <c r="B2" t="s">
        <v>11</v>
      </c>
      <c r="C2" t="s">
        <v>12</v>
      </c>
      <c r="D2">
        <v>85</v>
      </c>
      <c r="E2" t="s">
        <v>13</v>
      </c>
      <c r="F2" s="4">
        <v>85</v>
      </c>
      <c r="G2" s="2">
        <f>F2*780</f>
        <v>66300</v>
      </c>
      <c r="H2">
        <v>120</v>
      </c>
      <c r="I2">
        <v>20</v>
      </c>
      <c r="J2" t="s">
        <v>14</v>
      </c>
      <c r="K2" t="s">
        <v>15</v>
      </c>
    </row>
    <row r="3" spans="1:11" x14ac:dyDescent="0.35">
      <c r="A3" t="s">
        <v>16</v>
      </c>
      <c r="B3" t="s">
        <v>17</v>
      </c>
      <c r="C3" t="s">
        <v>18</v>
      </c>
      <c r="D3">
        <v>3.5</v>
      </c>
      <c r="E3" t="s">
        <v>13</v>
      </c>
      <c r="F3" s="4">
        <v>498</v>
      </c>
      <c r="G3" s="2">
        <f t="shared" ref="G3:G21" si="0">F3*780</f>
        <v>388440</v>
      </c>
      <c r="H3">
        <v>500</v>
      </c>
      <c r="I3">
        <v>100</v>
      </c>
      <c r="J3" t="s">
        <v>19</v>
      </c>
      <c r="K3" t="s">
        <v>20</v>
      </c>
    </row>
    <row r="4" spans="1:11" x14ac:dyDescent="0.35">
      <c r="A4" t="s">
        <v>21</v>
      </c>
      <c r="B4" t="s">
        <v>22</v>
      </c>
      <c r="C4" t="s">
        <v>23</v>
      </c>
      <c r="D4">
        <v>18</v>
      </c>
      <c r="E4" t="s">
        <v>13</v>
      </c>
      <c r="F4" s="4">
        <v>181</v>
      </c>
      <c r="G4" s="2">
        <f t="shared" si="0"/>
        <v>141180</v>
      </c>
      <c r="H4">
        <v>200</v>
      </c>
      <c r="I4">
        <v>50</v>
      </c>
      <c r="J4" t="s">
        <v>24</v>
      </c>
      <c r="K4" t="s">
        <v>15</v>
      </c>
    </row>
    <row r="5" spans="1:11" x14ac:dyDescent="0.35">
      <c r="A5" t="s">
        <v>25</v>
      </c>
      <c r="B5" t="s">
        <v>26</v>
      </c>
      <c r="C5" t="s">
        <v>23</v>
      </c>
      <c r="D5">
        <v>4.99</v>
      </c>
      <c r="E5" t="s">
        <v>13</v>
      </c>
      <c r="F5" s="4">
        <v>250</v>
      </c>
      <c r="G5" s="2">
        <f>F5*780</f>
        <v>195000</v>
      </c>
      <c r="H5">
        <v>350</v>
      </c>
      <c r="I5">
        <v>80</v>
      </c>
      <c r="J5" t="s">
        <v>24</v>
      </c>
      <c r="K5" t="s">
        <v>15</v>
      </c>
    </row>
    <row r="6" spans="1:11" x14ac:dyDescent="0.35">
      <c r="A6" t="s">
        <v>27</v>
      </c>
      <c r="B6" t="s">
        <v>28</v>
      </c>
      <c r="C6" t="s">
        <v>23</v>
      </c>
      <c r="D6">
        <v>32</v>
      </c>
      <c r="E6" t="s">
        <v>13</v>
      </c>
      <c r="F6" s="4">
        <v>32</v>
      </c>
      <c r="G6" s="2">
        <f>F6*780</f>
        <v>24960</v>
      </c>
      <c r="H6">
        <v>35</v>
      </c>
      <c r="I6">
        <v>15</v>
      </c>
      <c r="J6" t="s">
        <v>24</v>
      </c>
      <c r="K6" t="s">
        <v>15</v>
      </c>
    </row>
    <row r="7" spans="1:11" x14ac:dyDescent="0.35">
      <c r="A7" t="s">
        <v>29</v>
      </c>
      <c r="B7" t="s">
        <v>30</v>
      </c>
      <c r="C7" t="s">
        <v>23</v>
      </c>
      <c r="D7">
        <v>19</v>
      </c>
      <c r="E7" t="s">
        <v>13</v>
      </c>
      <c r="F7" s="4">
        <v>19</v>
      </c>
      <c r="G7" s="2">
        <f t="shared" si="0"/>
        <v>14820</v>
      </c>
      <c r="H7">
        <v>180</v>
      </c>
      <c r="I7">
        <v>30</v>
      </c>
      <c r="J7" t="s">
        <v>24</v>
      </c>
      <c r="K7" t="s">
        <v>15</v>
      </c>
    </row>
    <row r="8" spans="1:11" x14ac:dyDescent="0.35">
      <c r="A8" t="s">
        <v>31</v>
      </c>
      <c r="B8" t="s">
        <v>32</v>
      </c>
      <c r="C8" t="s">
        <v>23</v>
      </c>
      <c r="D8">
        <v>45</v>
      </c>
      <c r="E8" t="s">
        <v>33</v>
      </c>
      <c r="F8" s="4">
        <v>49.5</v>
      </c>
      <c r="G8" s="2">
        <f t="shared" si="0"/>
        <v>38610</v>
      </c>
      <c r="H8">
        <v>90</v>
      </c>
      <c r="I8">
        <v>20</v>
      </c>
      <c r="J8" t="s">
        <v>34</v>
      </c>
      <c r="K8" t="s">
        <v>15</v>
      </c>
    </row>
    <row r="9" spans="1:11" x14ac:dyDescent="0.35">
      <c r="A9" t="s">
        <v>35</v>
      </c>
      <c r="B9" t="s">
        <v>36</v>
      </c>
      <c r="C9" t="s">
        <v>23</v>
      </c>
      <c r="D9">
        <v>8.5</v>
      </c>
      <c r="E9" t="s">
        <v>13</v>
      </c>
      <c r="F9" s="4">
        <v>250</v>
      </c>
      <c r="G9" s="2">
        <f t="shared" si="0"/>
        <v>195000</v>
      </c>
      <c r="H9">
        <v>260</v>
      </c>
      <c r="I9">
        <v>40</v>
      </c>
      <c r="J9" t="s">
        <v>24</v>
      </c>
      <c r="K9" t="s">
        <v>15</v>
      </c>
    </row>
    <row r="10" spans="1:11" x14ac:dyDescent="0.35">
      <c r="A10" t="s">
        <v>37</v>
      </c>
      <c r="B10" t="s">
        <v>38</v>
      </c>
      <c r="C10" t="s">
        <v>12</v>
      </c>
      <c r="D10">
        <v>220</v>
      </c>
      <c r="E10" t="s">
        <v>13</v>
      </c>
      <c r="F10" s="4">
        <v>220</v>
      </c>
      <c r="G10" s="2">
        <f t="shared" si="0"/>
        <v>171600</v>
      </c>
      <c r="H10">
        <v>40</v>
      </c>
      <c r="I10">
        <v>10</v>
      </c>
      <c r="J10" t="s">
        <v>14</v>
      </c>
      <c r="K10" t="s">
        <v>15</v>
      </c>
    </row>
    <row r="11" spans="1:11" x14ac:dyDescent="0.35">
      <c r="A11" t="s">
        <v>39</v>
      </c>
      <c r="B11" t="s">
        <v>40</v>
      </c>
      <c r="C11" t="s">
        <v>41</v>
      </c>
      <c r="D11">
        <v>55</v>
      </c>
      <c r="E11" t="s">
        <v>42</v>
      </c>
      <c r="F11" s="4">
        <v>69.849999999999994</v>
      </c>
      <c r="G11" s="2">
        <f t="shared" si="0"/>
        <v>54482.999999999993</v>
      </c>
      <c r="H11">
        <v>25</v>
      </c>
      <c r="I11">
        <v>5</v>
      </c>
      <c r="J11" t="s">
        <v>19</v>
      </c>
      <c r="K11" t="s">
        <v>15</v>
      </c>
    </row>
    <row r="12" spans="1:11" x14ac:dyDescent="0.35">
      <c r="A12" t="s">
        <v>43</v>
      </c>
      <c r="B12" t="s">
        <v>44</v>
      </c>
      <c r="C12" t="s">
        <v>18</v>
      </c>
      <c r="D12">
        <v>6</v>
      </c>
      <c r="E12" t="s">
        <v>13</v>
      </c>
      <c r="F12" s="4">
        <v>6</v>
      </c>
      <c r="G12" s="2">
        <f t="shared" si="0"/>
        <v>4680</v>
      </c>
      <c r="H12">
        <v>400</v>
      </c>
      <c r="I12">
        <v>100</v>
      </c>
      <c r="J12" t="s">
        <v>19</v>
      </c>
      <c r="K12" t="s">
        <v>45</v>
      </c>
    </row>
    <row r="13" spans="1:11" x14ac:dyDescent="0.35">
      <c r="A13" t="s">
        <v>46</v>
      </c>
      <c r="B13" t="s">
        <v>47</v>
      </c>
      <c r="C13" t="s">
        <v>12</v>
      </c>
      <c r="D13">
        <v>95</v>
      </c>
      <c r="E13" t="s">
        <v>13</v>
      </c>
      <c r="F13" s="4">
        <v>95</v>
      </c>
      <c r="G13" s="2">
        <f t="shared" si="0"/>
        <v>74100</v>
      </c>
      <c r="H13">
        <v>18</v>
      </c>
      <c r="I13">
        <v>5</v>
      </c>
      <c r="J13" t="s">
        <v>14</v>
      </c>
      <c r="K13" t="s">
        <v>15</v>
      </c>
    </row>
    <row r="14" spans="1:11" x14ac:dyDescent="0.35">
      <c r="A14" t="s">
        <v>48</v>
      </c>
      <c r="B14" t="s">
        <v>49</v>
      </c>
      <c r="C14" t="s">
        <v>23</v>
      </c>
      <c r="D14">
        <v>75</v>
      </c>
      <c r="E14" t="s">
        <v>42</v>
      </c>
      <c r="F14" s="4">
        <v>12</v>
      </c>
      <c r="G14" s="2">
        <f t="shared" si="0"/>
        <v>9360</v>
      </c>
      <c r="H14">
        <v>22</v>
      </c>
      <c r="I14">
        <v>5</v>
      </c>
      <c r="J14" t="s">
        <v>50</v>
      </c>
      <c r="K14" t="s">
        <v>15</v>
      </c>
    </row>
    <row r="15" spans="1:11" x14ac:dyDescent="0.35">
      <c r="A15" t="s">
        <v>51</v>
      </c>
      <c r="B15" t="s">
        <v>52</v>
      </c>
      <c r="C15" t="s">
        <v>41</v>
      </c>
      <c r="D15">
        <v>12.5</v>
      </c>
      <c r="E15" t="s">
        <v>13</v>
      </c>
      <c r="F15" s="4">
        <v>12.5</v>
      </c>
      <c r="G15" s="2">
        <f t="shared" si="0"/>
        <v>9750</v>
      </c>
      <c r="H15">
        <v>150</v>
      </c>
      <c r="I15">
        <v>30</v>
      </c>
      <c r="J15" t="s">
        <v>19</v>
      </c>
      <c r="K15" t="s">
        <v>15</v>
      </c>
    </row>
    <row r="16" spans="1:11" x14ac:dyDescent="0.35">
      <c r="A16" t="s">
        <v>53</v>
      </c>
      <c r="B16" t="s">
        <v>54</v>
      </c>
      <c r="C16" t="s">
        <v>23</v>
      </c>
      <c r="D16">
        <v>28</v>
      </c>
      <c r="E16" t="s">
        <v>33</v>
      </c>
      <c r="F16" s="4">
        <v>69</v>
      </c>
      <c r="G16" s="2">
        <f t="shared" si="0"/>
        <v>53820</v>
      </c>
      <c r="H16">
        <v>70</v>
      </c>
      <c r="I16">
        <v>15</v>
      </c>
      <c r="J16" t="s">
        <v>34</v>
      </c>
      <c r="K16" t="s">
        <v>15</v>
      </c>
    </row>
    <row r="17" spans="1:11" x14ac:dyDescent="0.35">
      <c r="A17" t="s">
        <v>55</v>
      </c>
      <c r="B17" t="s">
        <v>56</v>
      </c>
      <c r="C17" t="s">
        <v>23</v>
      </c>
      <c r="D17">
        <v>165</v>
      </c>
      <c r="E17" t="s">
        <v>13</v>
      </c>
      <c r="F17" s="4">
        <v>165</v>
      </c>
      <c r="G17" s="2">
        <f t="shared" si="0"/>
        <v>128700</v>
      </c>
      <c r="H17">
        <v>55</v>
      </c>
      <c r="I17">
        <v>10</v>
      </c>
      <c r="J17" t="s">
        <v>50</v>
      </c>
      <c r="K17" t="s">
        <v>15</v>
      </c>
    </row>
    <row r="18" spans="1:11" x14ac:dyDescent="0.35">
      <c r="A18" t="s">
        <v>57</v>
      </c>
      <c r="B18" t="s">
        <v>58</v>
      </c>
      <c r="C18" t="s">
        <v>41</v>
      </c>
      <c r="D18">
        <v>22</v>
      </c>
      <c r="E18" t="s">
        <v>13</v>
      </c>
      <c r="F18" s="4">
        <v>22</v>
      </c>
      <c r="G18" s="2">
        <f t="shared" si="0"/>
        <v>17160</v>
      </c>
      <c r="H18">
        <v>100</v>
      </c>
      <c r="I18">
        <v>20</v>
      </c>
      <c r="J18" t="s">
        <v>19</v>
      </c>
      <c r="K18" t="s">
        <v>15</v>
      </c>
    </row>
    <row r="19" spans="1:11" x14ac:dyDescent="0.35">
      <c r="A19" t="s">
        <v>59</v>
      </c>
      <c r="B19" t="s">
        <v>60</v>
      </c>
      <c r="C19" t="s">
        <v>23</v>
      </c>
      <c r="D19">
        <v>120</v>
      </c>
      <c r="E19" t="s">
        <v>42</v>
      </c>
      <c r="F19" s="4">
        <v>152.4</v>
      </c>
      <c r="G19" s="2">
        <f>F19*780</f>
        <v>118872</v>
      </c>
      <c r="H19">
        <v>12</v>
      </c>
      <c r="I19">
        <v>3</v>
      </c>
      <c r="J19" t="s">
        <v>50</v>
      </c>
      <c r="K19" t="s">
        <v>15</v>
      </c>
    </row>
    <row r="20" spans="1:11" x14ac:dyDescent="0.35">
      <c r="A20" t="s">
        <v>61</v>
      </c>
      <c r="B20" t="s">
        <v>62</v>
      </c>
      <c r="C20" t="s">
        <v>41</v>
      </c>
      <c r="D20">
        <v>80</v>
      </c>
      <c r="E20" t="s">
        <v>33</v>
      </c>
      <c r="F20" s="4">
        <v>88</v>
      </c>
      <c r="G20" s="2">
        <f t="shared" si="0"/>
        <v>68640</v>
      </c>
      <c r="H20">
        <v>30</v>
      </c>
      <c r="I20">
        <v>8</v>
      </c>
      <c r="J20" t="s">
        <v>34</v>
      </c>
      <c r="K20" t="s">
        <v>15</v>
      </c>
    </row>
    <row r="21" spans="1:11" x14ac:dyDescent="0.35">
      <c r="A21" t="s">
        <v>63</v>
      </c>
      <c r="B21" t="s">
        <v>64</v>
      </c>
      <c r="C21" t="s">
        <v>65</v>
      </c>
      <c r="D21">
        <v>210</v>
      </c>
      <c r="E21" t="s">
        <v>13</v>
      </c>
      <c r="F21" s="4">
        <v>210</v>
      </c>
      <c r="G21" s="2">
        <f t="shared" si="0"/>
        <v>163800</v>
      </c>
      <c r="H21">
        <v>60</v>
      </c>
      <c r="I21">
        <v>15</v>
      </c>
      <c r="J21" t="s">
        <v>66</v>
      </c>
      <c r="K21" t="s">
        <v>15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AF5D-DACB-45C8-99D3-913B90AD7A54}">
  <sheetPr codeName="Sheet3"/>
  <dimension ref="A1:K18"/>
  <sheetViews>
    <sheetView tabSelected="1" topLeftCell="A10" zoomScale="97" workbookViewId="0">
      <selection activeCell="C19" sqref="C19"/>
    </sheetView>
  </sheetViews>
  <sheetFormatPr defaultRowHeight="14.5" x14ac:dyDescent="0.35"/>
  <cols>
    <col min="1" max="1" width="13.1796875" customWidth="1"/>
    <col min="2" max="2" width="14.6328125" style="1" customWidth="1"/>
    <col min="3" max="3" width="13.08984375" customWidth="1"/>
    <col min="4" max="4" width="11.81640625" customWidth="1"/>
    <col min="5" max="5" width="13.1796875" customWidth="1"/>
    <col min="6" max="6" width="16.453125" style="3" customWidth="1"/>
    <col min="7" max="8" width="11.08984375" customWidth="1"/>
    <col min="9" max="9" width="16.08984375" style="2" customWidth="1"/>
    <col min="11" max="11" width="27.453125" customWidth="1"/>
  </cols>
  <sheetData>
    <row r="1" spans="1:11" x14ac:dyDescent="0.35">
      <c r="A1" t="s">
        <v>164</v>
      </c>
      <c r="B1" s="1" t="s">
        <v>165</v>
      </c>
      <c r="C1" t="s">
        <v>67</v>
      </c>
      <c r="D1" t="s">
        <v>0</v>
      </c>
      <c r="E1" t="s">
        <v>136</v>
      </c>
      <c r="F1" s="3" t="s">
        <v>166</v>
      </c>
      <c r="G1" t="s">
        <v>3</v>
      </c>
      <c r="H1" t="s">
        <v>167</v>
      </c>
      <c r="I1" s="3" t="s">
        <v>168</v>
      </c>
      <c r="J1" t="s">
        <v>142</v>
      </c>
      <c r="K1" t="s">
        <v>143</v>
      </c>
    </row>
    <row r="2" spans="1:11" x14ac:dyDescent="0.35">
      <c r="A2" t="s">
        <v>169</v>
      </c>
      <c r="B2" s="1">
        <v>45662</v>
      </c>
      <c r="C2" t="s">
        <v>86</v>
      </c>
      <c r="D2" t="s">
        <v>16</v>
      </c>
      <c r="E2" s="14">
        <v>20</v>
      </c>
      <c r="F2" s="3" t="s">
        <v>13</v>
      </c>
      <c r="G2" s="14">
        <v>3.5</v>
      </c>
      <c r="H2" s="14">
        <v>70</v>
      </c>
      <c r="J2" t="s">
        <v>170</v>
      </c>
    </row>
    <row r="3" spans="1:11" x14ac:dyDescent="0.35">
      <c r="A3" t="s">
        <v>171</v>
      </c>
      <c r="B3" s="1">
        <v>45665</v>
      </c>
      <c r="C3" t="s">
        <v>107</v>
      </c>
      <c r="D3" t="s">
        <v>29</v>
      </c>
      <c r="E3" s="14">
        <v>10</v>
      </c>
      <c r="F3" s="3" t="s">
        <v>13</v>
      </c>
      <c r="G3" s="14">
        <v>19</v>
      </c>
      <c r="H3" s="14">
        <v>190</v>
      </c>
      <c r="J3" t="s">
        <v>170</v>
      </c>
    </row>
    <row r="4" spans="1:11" x14ac:dyDescent="0.35">
      <c r="A4" t="s">
        <v>172</v>
      </c>
      <c r="B4" s="1">
        <v>45667</v>
      </c>
      <c r="C4" t="s">
        <v>75</v>
      </c>
      <c r="D4" t="s">
        <v>10</v>
      </c>
      <c r="E4" s="14">
        <v>5</v>
      </c>
      <c r="F4" s="3" t="s">
        <v>13</v>
      </c>
      <c r="G4" s="14">
        <v>85</v>
      </c>
      <c r="H4" s="14">
        <v>425</v>
      </c>
      <c r="J4" t="s">
        <v>170</v>
      </c>
    </row>
    <row r="5" spans="1:11" x14ac:dyDescent="0.35">
      <c r="A5" t="s">
        <v>173</v>
      </c>
      <c r="B5" s="1">
        <v>45671</v>
      </c>
      <c r="C5" t="s">
        <v>117</v>
      </c>
      <c r="D5" t="s">
        <v>31</v>
      </c>
      <c r="E5" s="14">
        <v>3</v>
      </c>
      <c r="F5" s="3" t="s">
        <v>33</v>
      </c>
      <c r="G5" s="14">
        <v>45</v>
      </c>
      <c r="H5" s="14">
        <v>135</v>
      </c>
      <c r="J5" t="s">
        <v>170</v>
      </c>
      <c r="K5" t="s">
        <v>174</v>
      </c>
    </row>
    <row r="6" spans="1:11" x14ac:dyDescent="0.35">
      <c r="A6" t="s">
        <v>175</v>
      </c>
      <c r="B6" s="1">
        <v>45674</v>
      </c>
      <c r="C6" t="s">
        <v>81</v>
      </c>
      <c r="D6" t="s">
        <v>25</v>
      </c>
      <c r="E6" s="14">
        <v>50</v>
      </c>
      <c r="F6" s="3" t="s">
        <v>13</v>
      </c>
      <c r="G6" s="14">
        <v>4.99</v>
      </c>
      <c r="H6" s="14">
        <v>249.5</v>
      </c>
      <c r="J6" t="s">
        <v>170</v>
      </c>
    </row>
    <row r="7" spans="1:11" x14ac:dyDescent="0.35">
      <c r="A7" t="s">
        <v>176</v>
      </c>
      <c r="B7" s="1">
        <v>45677</v>
      </c>
      <c r="C7" t="s">
        <v>127</v>
      </c>
      <c r="D7" t="s">
        <v>39</v>
      </c>
      <c r="E7" s="14">
        <v>2</v>
      </c>
      <c r="F7" s="3" t="s">
        <v>42</v>
      </c>
      <c r="G7" s="14">
        <v>55</v>
      </c>
      <c r="H7" s="14">
        <v>110</v>
      </c>
      <c r="J7" t="s">
        <v>170</v>
      </c>
      <c r="K7" t="s">
        <v>177</v>
      </c>
    </row>
    <row r="8" spans="1:11" x14ac:dyDescent="0.35">
      <c r="A8" t="s">
        <v>178</v>
      </c>
      <c r="B8" s="1">
        <v>45679</v>
      </c>
      <c r="C8" t="s">
        <v>95</v>
      </c>
      <c r="D8" t="s">
        <v>55</v>
      </c>
      <c r="E8" s="14">
        <v>4</v>
      </c>
      <c r="F8" s="3" t="s">
        <v>13</v>
      </c>
      <c r="G8" s="14">
        <v>165</v>
      </c>
      <c r="H8" s="14">
        <v>660</v>
      </c>
      <c r="J8" t="s">
        <v>170</v>
      </c>
    </row>
    <row r="9" spans="1:11" x14ac:dyDescent="0.35">
      <c r="A9" t="s">
        <v>179</v>
      </c>
      <c r="B9" s="1">
        <v>45682</v>
      </c>
      <c r="C9" t="s">
        <v>113</v>
      </c>
      <c r="D9" t="s">
        <v>43</v>
      </c>
      <c r="E9" s="14">
        <v>15</v>
      </c>
      <c r="F9" s="3" t="s">
        <v>13</v>
      </c>
      <c r="G9" s="14">
        <v>6</v>
      </c>
      <c r="H9" s="14">
        <v>90</v>
      </c>
      <c r="J9" t="s">
        <v>170</v>
      </c>
    </row>
    <row r="10" spans="1:11" x14ac:dyDescent="0.35">
      <c r="A10" t="s">
        <v>180</v>
      </c>
      <c r="B10" s="1">
        <v>45685</v>
      </c>
      <c r="C10" t="s">
        <v>91</v>
      </c>
      <c r="D10" t="s">
        <v>53</v>
      </c>
      <c r="E10" s="14">
        <v>8</v>
      </c>
      <c r="F10" s="3" t="s">
        <v>33</v>
      </c>
      <c r="G10" s="14">
        <v>28</v>
      </c>
      <c r="H10" s="14">
        <v>224</v>
      </c>
      <c r="J10" t="s">
        <v>170</v>
      </c>
      <c r="K10" t="s">
        <v>181</v>
      </c>
    </row>
    <row r="11" spans="1:11" x14ac:dyDescent="0.35">
      <c r="A11" t="s">
        <v>182</v>
      </c>
      <c r="B11" s="1">
        <v>45689</v>
      </c>
      <c r="C11" t="s">
        <v>101</v>
      </c>
      <c r="D11" t="s">
        <v>57</v>
      </c>
      <c r="E11" s="14">
        <v>12</v>
      </c>
      <c r="F11" s="3" t="s">
        <v>13</v>
      </c>
      <c r="G11" s="14">
        <v>22</v>
      </c>
      <c r="H11" s="14">
        <v>264</v>
      </c>
      <c r="J11" t="s">
        <v>170</v>
      </c>
    </row>
    <row r="12" spans="1:11" x14ac:dyDescent="0.35">
      <c r="A12" t="s">
        <v>183</v>
      </c>
      <c r="B12" s="1">
        <v>45691</v>
      </c>
      <c r="C12" t="s">
        <v>132</v>
      </c>
      <c r="D12" t="s">
        <v>63</v>
      </c>
      <c r="E12" s="14">
        <v>10</v>
      </c>
      <c r="F12" s="3" t="s">
        <v>13</v>
      </c>
      <c r="G12" s="14">
        <v>210</v>
      </c>
      <c r="H12" s="14">
        <v>2100</v>
      </c>
      <c r="J12" t="s">
        <v>156</v>
      </c>
      <c r="K12" t="s">
        <v>184</v>
      </c>
    </row>
    <row r="13" spans="1:11" x14ac:dyDescent="0.35">
      <c r="A13" t="s">
        <v>185</v>
      </c>
      <c r="B13" s="1">
        <v>45693</v>
      </c>
      <c r="C13" t="s">
        <v>75</v>
      </c>
      <c r="D13" t="s">
        <v>21</v>
      </c>
      <c r="E13" s="14">
        <v>30</v>
      </c>
      <c r="F13" s="3" t="s">
        <v>13</v>
      </c>
      <c r="G13" s="14">
        <v>18</v>
      </c>
      <c r="H13" s="14">
        <v>540</v>
      </c>
      <c r="J13" t="s">
        <v>156</v>
      </c>
    </row>
    <row r="14" spans="1:11" x14ac:dyDescent="0.35">
      <c r="A14" t="s">
        <v>186</v>
      </c>
      <c r="B14" s="1">
        <v>45694</v>
      </c>
      <c r="C14" t="s">
        <v>122</v>
      </c>
      <c r="D14" t="s">
        <v>48</v>
      </c>
      <c r="E14" s="14">
        <v>1</v>
      </c>
      <c r="F14" s="3" t="s">
        <v>42</v>
      </c>
      <c r="G14" s="14">
        <v>75</v>
      </c>
      <c r="H14" s="14">
        <v>75</v>
      </c>
      <c r="J14" t="s">
        <v>156</v>
      </c>
      <c r="K14" t="s">
        <v>187</v>
      </c>
    </row>
    <row r="15" spans="1:11" x14ac:dyDescent="0.35">
      <c r="A15" t="s">
        <v>188</v>
      </c>
      <c r="B15" s="1">
        <v>45696</v>
      </c>
      <c r="C15" t="s">
        <v>86</v>
      </c>
      <c r="D15" t="s">
        <v>35</v>
      </c>
      <c r="E15" s="14">
        <v>25</v>
      </c>
      <c r="F15" s="3" t="s">
        <v>13</v>
      </c>
      <c r="G15" s="14">
        <v>8.5</v>
      </c>
      <c r="H15" s="14">
        <v>212.5</v>
      </c>
      <c r="J15" t="s">
        <v>156</v>
      </c>
    </row>
    <row r="16" spans="1:11" x14ac:dyDescent="0.35">
      <c r="A16" t="s">
        <v>189</v>
      </c>
      <c r="B16" s="1">
        <v>45698</v>
      </c>
      <c r="C16" t="s">
        <v>107</v>
      </c>
      <c r="D16" t="s">
        <v>27</v>
      </c>
      <c r="E16" s="14">
        <v>80</v>
      </c>
      <c r="F16" s="3" t="s">
        <v>13</v>
      </c>
      <c r="G16" s="14">
        <v>32</v>
      </c>
      <c r="H16" s="14">
        <v>2560</v>
      </c>
      <c r="J16" t="s">
        <v>190</v>
      </c>
      <c r="K16" t="s">
        <v>191</v>
      </c>
    </row>
    <row r="17" spans="1:10" x14ac:dyDescent="0.35">
      <c r="A17" t="s">
        <v>203</v>
      </c>
      <c r="B17" s="1">
        <v>46120.744837962964</v>
      </c>
      <c r="C17" t="s">
        <v>91</v>
      </c>
      <c r="D17" t="s">
        <v>16</v>
      </c>
      <c r="E17" s="14">
        <v>2</v>
      </c>
      <c r="F17" s="3" t="s">
        <v>13</v>
      </c>
      <c r="G17" s="14">
        <v>3.5</v>
      </c>
      <c r="H17" s="14">
        <v>7</v>
      </c>
      <c r="I17" s="2">
        <v>9672.3884180000005</v>
      </c>
      <c r="J17" t="s">
        <v>170</v>
      </c>
    </row>
    <row r="18" spans="1:10" x14ac:dyDescent="0.35">
      <c r="A18" t="s">
        <v>204</v>
      </c>
      <c r="B18" s="1">
        <v>46120.752939814818</v>
      </c>
      <c r="C18" t="s">
        <v>107</v>
      </c>
      <c r="D18" t="s">
        <v>53</v>
      </c>
      <c r="E18" s="14">
        <v>1</v>
      </c>
      <c r="F18" s="3" t="s">
        <v>33</v>
      </c>
      <c r="G18" s="14">
        <v>28</v>
      </c>
      <c r="H18" s="14">
        <v>28</v>
      </c>
      <c r="I18" s="2">
        <v>45067.710604</v>
      </c>
      <c r="J18" t="s">
        <v>170</v>
      </c>
    </row>
  </sheetData>
  <dataValidations count="1">
    <dataValidation type="whole" operator="greaterThan" allowBlank="1" showInputMessage="1" showErrorMessage="1" errorTitle="Invalid Input" error="&quot;Please enter a valid quantity (positive number only)&quot;" sqref="E1:E1048576" xr:uid="{50134B7C-B9EA-44E6-94E2-38DE65997E6A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3" name="Button 6">
              <controlPr defaultSize="0" print="0" autoFill="0" autoPict="0" macro="[0]!buttonSubmit_Click">
                <anchor moveWithCells="1" sizeWithCells="1">
                  <from>
                    <xdr:col>0</xdr:col>
                    <xdr:colOff>50800</xdr:colOff>
                    <xdr:row>21</xdr:row>
                    <xdr:rowOff>101600</xdr:rowOff>
                  </from>
                  <to>
                    <xdr:col>2</xdr:col>
                    <xdr:colOff>234950</xdr:colOff>
                    <xdr:row>24</xdr:row>
                    <xdr:rowOff>63500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Invalid Input" error="Please enter a valid quantity (positive number only)" xr:uid="{178DEB3C-AC8F-4560-B4DF-1D3A7533E7BF}">
          <x14:formula1>
            <xm:f>Customers!$A$2:$A$13</xm:f>
          </x14:formula1>
          <xm:sqref>C1:C1048576</xm:sqref>
        </x14:dataValidation>
        <x14:dataValidation type="list" allowBlank="1" showInputMessage="1" showErrorMessage="1" xr:uid="{D0A65FD4-36A6-41E7-8180-5347D0E8FD09}">
          <x14:formula1>
            <xm:f>Inventory!$A$2:$A$21</xm:f>
          </x14:formula1>
          <xm:sqref>D1:D1048576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0FE31-5BE6-4AD7-AF45-CE2CD0FDFE86}">
  <sheetPr codeName="Sheet4"/>
  <dimension ref="A1:J9"/>
  <sheetViews>
    <sheetView workbookViewId="0">
      <selection activeCell="H2" sqref="H2"/>
    </sheetView>
  </sheetViews>
  <sheetFormatPr defaultRowHeight="14.5" x14ac:dyDescent="0.35"/>
  <cols>
    <col min="2" max="2" width="10.6328125" customWidth="1"/>
    <col min="3" max="3" width="12.453125" customWidth="1"/>
    <col min="4" max="4" width="12.08984375" customWidth="1"/>
    <col min="5" max="5" width="14.08984375" customWidth="1"/>
    <col min="6" max="6" width="10.90625" customWidth="1"/>
    <col min="7" max="7" width="10.1796875" customWidth="1"/>
    <col min="8" max="8" width="11.6328125" customWidth="1"/>
  </cols>
  <sheetData>
    <row r="1" spans="1:10" x14ac:dyDescent="0.35">
      <c r="A1" t="s">
        <v>137</v>
      </c>
      <c r="B1" t="s">
        <v>138</v>
      </c>
      <c r="C1" t="s">
        <v>8</v>
      </c>
      <c r="D1" t="s">
        <v>0</v>
      </c>
      <c r="E1" t="s">
        <v>139</v>
      </c>
      <c r="F1" t="s">
        <v>140</v>
      </c>
      <c r="G1" t="s">
        <v>4</v>
      </c>
      <c r="H1" t="s">
        <v>141</v>
      </c>
      <c r="I1" t="s">
        <v>142</v>
      </c>
      <c r="J1" t="s">
        <v>143</v>
      </c>
    </row>
    <row r="2" spans="1:10" x14ac:dyDescent="0.35">
      <c r="A2" t="s">
        <v>144</v>
      </c>
      <c r="B2" s="1">
        <v>45659</v>
      </c>
      <c r="C2" t="s">
        <v>24</v>
      </c>
      <c r="D2" t="s">
        <v>27</v>
      </c>
      <c r="E2">
        <v>100</v>
      </c>
      <c r="F2">
        <v>24</v>
      </c>
      <c r="G2" t="s">
        <v>13</v>
      </c>
      <c r="H2">
        <v>2400</v>
      </c>
      <c r="I2" t="s">
        <v>145</v>
      </c>
      <c r="J2" t="s">
        <v>146</v>
      </c>
    </row>
    <row r="3" spans="1:10" x14ac:dyDescent="0.35">
      <c r="A3" t="s">
        <v>147</v>
      </c>
      <c r="B3" s="1">
        <v>45660</v>
      </c>
      <c r="C3" t="s">
        <v>19</v>
      </c>
      <c r="D3" t="s">
        <v>16</v>
      </c>
      <c r="E3">
        <v>500</v>
      </c>
      <c r="F3">
        <v>2.5</v>
      </c>
      <c r="G3" t="s">
        <v>13</v>
      </c>
      <c r="H3">
        <v>1250</v>
      </c>
      <c r="I3" t="s">
        <v>145</v>
      </c>
      <c r="J3" t="s">
        <v>148</v>
      </c>
    </row>
    <row r="4" spans="1:10" x14ac:dyDescent="0.35">
      <c r="A4" t="s">
        <v>149</v>
      </c>
      <c r="B4" s="1">
        <v>45666</v>
      </c>
      <c r="C4" t="s">
        <v>34</v>
      </c>
      <c r="D4" t="s">
        <v>31</v>
      </c>
      <c r="E4">
        <v>50</v>
      </c>
      <c r="F4">
        <v>38</v>
      </c>
      <c r="G4" t="s">
        <v>33</v>
      </c>
      <c r="H4">
        <v>1900</v>
      </c>
      <c r="I4" t="s">
        <v>145</v>
      </c>
      <c r="J4" t="s">
        <v>150</v>
      </c>
    </row>
    <row r="5" spans="1:10" x14ac:dyDescent="0.35">
      <c r="A5" t="s">
        <v>151</v>
      </c>
      <c r="B5" s="1">
        <v>45672</v>
      </c>
      <c r="C5" t="s">
        <v>14</v>
      </c>
      <c r="D5" t="s">
        <v>10</v>
      </c>
      <c r="E5">
        <v>30</v>
      </c>
      <c r="F5">
        <v>65</v>
      </c>
      <c r="G5" t="s">
        <v>13</v>
      </c>
      <c r="H5">
        <v>1950</v>
      </c>
      <c r="I5" t="s">
        <v>145</v>
      </c>
    </row>
    <row r="6" spans="1:10" x14ac:dyDescent="0.35">
      <c r="A6" t="s">
        <v>152</v>
      </c>
      <c r="B6" s="1">
        <v>45678</v>
      </c>
      <c r="C6" t="s">
        <v>50</v>
      </c>
      <c r="D6" t="s">
        <v>59</v>
      </c>
      <c r="E6">
        <v>5</v>
      </c>
      <c r="F6">
        <v>95</v>
      </c>
      <c r="G6" t="s">
        <v>42</v>
      </c>
      <c r="H6">
        <v>475</v>
      </c>
      <c r="I6" t="s">
        <v>145</v>
      </c>
      <c r="J6" t="s">
        <v>153</v>
      </c>
    </row>
    <row r="7" spans="1:10" x14ac:dyDescent="0.35">
      <c r="A7" t="s">
        <v>154</v>
      </c>
      <c r="B7" s="1">
        <v>45686</v>
      </c>
      <c r="C7" t="s">
        <v>24</v>
      </c>
      <c r="D7" t="s">
        <v>29</v>
      </c>
      <c r="E7">
        <v>80</v>
      </c>
      <c r="F7">
        <v>14</v>
      </c>
      <c r="G7" t="s">
        <v>13</v>
      </c>
      <c r="H7">
        <v>1120</v>
      </c>
      <c r="I7" t="s">
        <v>145</v>
      </c>
    </row>
    <row r="8" spans="1:10" x14ac:dyDescent="0.35">
      <c r="A8" t="s">
        <v>155</v>
      </c>
      <c r="B8" s="1">
        <v>45692</v>
      </c>
      <c r="C8" t="s">
        <v>66</v>
      </c>
      <c r="D8" t="s">
        <v>63</v>
      </c>
      <c r="E8">
        <v>40</v>
      </c>
      <c r="F8">
        <v>160</v>
      </c>
      <c r="G8" t="s">
        <v>13</v>
      </c>
      <c r="H8">
        <v>6400</v>
      </c>
      <c r="I8" t="s">
        <v>156</v>
      </c>
      <c r="J8" t="s">
        <v>157</v>
      </c>
    </row>
    <row r="9" spans="1:10" x14ac:dyDescent="0.35">
      <c r="A9" t="s">
        <v>158</v>
      </c>
      <c r="B9" s="1">
        <v>45697</v>
      </c>
      <c r="C9" t="s">
        <v>24</v>
      </c>
      <c r="D9" t="s">
        <v>21</v>
      </c>
      <c r="E9">
        <v>200</v>
      </c>
      <c r="F9">
        <v>12</v>
      </c>
      <c r="G9" t="s">
        <v>13</v>
      </c>
      <c r="H9">
        <v>2400</v>
      </c>
      <c r="I9" t="s">
        <v>156</v>
      </c>
      <c r="J9" t="s">
        <v>159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C927F-81AA-45E3-8C6C-11A0706531CF}">
  <sheetPr codeName="Sheet5"/>
  <dimension ref="A1:H13"/>
  <sheetViews>
    <sheetView workbookViewId="0">
      <selection activeCell="D16" sqref="D16"/>
    </sheetView>
  </sheetViews>
  <sheetFormatPr defaultRowHeight="14.5" x14ac:dyDescent="0.35"/>
  <cols>
    <col min="1" max="1" width="13.81640625" customWidth="1"/>
    <col min="2" max="2" width="18.08984375" customWidth="1"/>
    <col min="3" max="3" width="17.1796875" customWidth="1"/>
    <col min="4" max="4" width="21.6328125" customWidth="1"/>
    <col min="7" max="7" width="9.453125" customWidth="1"/>
    <col min="8" max="8" width="17.1796875" customWidth="1"/>
  </cols>
  <sheetData>
    <row r="1" spans="1:8" x14ac:dyDescent="0.35">
      <c r="A1" t="s">
        <v>67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</row>
    <row r="2" spans="1:8" x14ac:dyDescent="0.35">
      <c r="A2" t="s">
        <v>75</v>
      </c>
      <c r="B2" t="s">
        <v>76</v>
      </c>
      <c r="C2" t="s">
        <v>77</v>
      </c>
      <c r="D2" t="s">
        <v>78</v>
      </c>
      <c r="E2">
        <f>234-801-111-2222</f>
        <v>-2900</v>
      </c>
      <c r="F2" t="s">
        <v>79</v>
      </c>
      <c r="G2" t="s">
        <v>80</v>
      </c>
      <c r="H2">
        <v>10000</v>
      </c>
    </row>
    <row r="3" spans="1:8" x14ac:dyDescent="0.35">
      <c r="A3" t="s">
        <v>81</v>
      </c>
      <c r="B3" t="s">
        <v>82</v>
      </c>
      <c r="C3" t="s">
        <v>83</v>
      </c>
      <c r="D3" t="s">
        <v>84</v>
      </c>
      <c r="E3">
        <f>234-802-333-4444</f>
        <v>-5345</v>
      </c>
      <c r="F3" t="s">
        <v>85</v>
      </c>
      <c r="G3" t="s">
        <v>80</v>
      </c>
      <c r="H3">
        <v>5000</v>
      </c>
    </row>
    <row r="4" spans="1:8" x14ac:dyDescent="0.35">
      <c r="A4" t="s">
        <v>86</v>
      </c>
      <c r="B4" t="s">
        <v>87</v>
      </c>
      <c r="C4" t="s">
        <v>88</v>
      </c>
      <c r="D4" t="s">
        <v>89</v>
      </c>
      <c r="E4">
        <f>234-803-555-6666</f>
        <v>-7790</v>
      </c>
      <c r="F4" t="s">
        <v>90</v>
      </c>
      <c r="G4" t="s">
        <v>80</v>
      </c>
      <c r="H4">
        <v>15000</v>
      </c>
    </row>
    <row r="5" spans="1:8" x14ac:dyDescent="0.35">
      <c r="A5" t="s">
        <v>91</v>
      </c>
      <c r="B5" t="s">
        <v>92</v>
      </c>
      <c r="C5" t="s">
        <v>93</v>
      </c>
      <c r="D5" t="s">
        <v>94</v>
      </c>
      <c r="E5">
        <f>234-804-777-8888</f>
        <v>-10235</v>
      </c>
      <c r="F5" t="s">
        <v>79</v>
      </c>
      <c r="G5" t="s">
        <v>80</v>
      </c>
      <c r="H5">
        <v>8000</v>
      </c>
    </row>
    <row r="6" spans="1:8" x14ac:dyDescent="0.35">
      <c r="A6" t="s">
        <v>95</v>
      </c>
      <c r="B6" t="s">
        <v>96</v>
      </c>
      <c r="C6" t="s">
        <v>97</v>
      </c>
      <c r="D6" t="s">
        <v>98</v>
      </c>
      <c r="E6">
        <f>233-201-222-3333</f>
        <v>-3523</v>
      </c>
      <c r="F6" t="s">
        <v>99</v>
      </c>
      <c r="G6" t="s">
        <v>100</v>
      </c>
      <c r="H6">
        <v>20000</v>
      </c>
    </row>
    <row r="7" spans="1:8" x14ac:dyDescent="0.35">
      <c r="A7" t="s">
        <v>101</v>
      </c>
      <c r="B7" t="s">
        <v>102</v>
      </c>
      <c r="C7" t="s">
        <v>103</v>
      </c>
      <c r="D7" t="s">
        <v>104</v>
      </c>
      <c r="E7">
        <f>221-701-444-5555</f>
        <v>-6479</v>
      </c>
      <c r="F7" t="s">
        <v>105</v>
      </c>
      <c r="G7" t="s">
        <v>106</v>
      </c>
      <c r="H7">
        <v>12000</v>
      </c>
    </row>
    <row r="8" spans="1:8" x14ac:dyDescent="0.35">
      <c r="A8" t="s">
        <v>107</v>
      </c>
      <c r="B8" t="s">
        <v>108</v>
      </c>
      <c r="C8" t="s">
        <v>109</v>
      </c>
      <c r="D8" t="s">
        <v>110</v>
      </c>
      <c r="E8">
        <f>20-100-666-7777</f>
        <v>-8523</v>
      </c>
      <c r="F8" t="s">
        <v>111</v>
      </c>
      <c r="G8" t="s">
        <v>112</v>
      </c>
      <c r="H8">
        <v>18000</v>
      </c>
    </row>
    <row r="9" spans="1:8" x14ac:dyDescent="0.35">
      <c r="A9" t="s">
        <v>113</v>
      </c>
      <c r="B9" t="s">
        <v>114</v>
      </c>
      <c r="C9" t="s">
        <v>115</v>
      </c>
      <c r="D9" t="s">
        <v>116</v>
      </c>
      <c r="E9">
        <f>234-805-888-9999</f>
        <v>-11458</v>
      </c>
      <c r="F9" t="s">
        <v>79</v>
      </c>
      <c r="G9" t="s">
        <v>80</v>
      </c>
      <c r="H9">
        <v>6000</v>
      </c>
    </row>
    <row r="10" spans="1:8" x14ac:dyDescent="0.35">
      <c r="A10" t="s">
        <v>117</v>
      </c>
      <c r="B10" t="s">
        <v>118</v>
      </c>
      <c r="C10" t="s">
        <v>119</v>
      </c>
      <c r="D10" t="s">
        <v>120</v>
      </c>
      <c r="E10">
        <f>233-202-111-2222</f>
        <v>-2302</v>
      </c>
      <c r="F10" t="s">
        <v>121</v>
      </c>
      <c r="G10" t="s">
        <v>100</v>
      </c>
      <c r="H10">
        <v>10000</v>
      </c>
    </row>
    <row r="11" spans="1:8" x14ac:dyDescent="0.35">
      <c r="A11" t="s">
        <v>122</v>
      </c>
      <c r="B11" t="s">
        <v>123</v>
      </c>
      <c r="C11" t="s">
        <v>124</v>
      </c>
      <c r="D11" t="s">
        <v>125</v>
      </c>
      <c r="E11">
        <f>234-806-333-4444</f>
        <v>-5349</v>
      </c>
      <c r="F11" t="s">
        <v>126</v>
      </c>
      <c r="G11" t="s">
        <v>80</v>
      </c>
      <c r="H11">
        <v>7500</v>
      </c>
    </row>
    <row r="12" spans="1:8" x14ac:dyDescent="0.35">
      <c r="A12" t="s">
        <v>127</v>
      </c>
      <c r="B12" t="s">
        <v>128</v>
      </c>
      <c r="C12" t="s">
        <v>129</v>
      </c>
      <c r="D12" t="s">
        <v>130</v>
      </c>
      <c r="E12">
        <f>234-807-555-6666</f>
        <v>-7794</v>
      </c>
      <c r="F12" t="s">
        <v>131</v>
      </c>
      <c r="G12" t="s">
        <v>80</v>
      </c>
      <c r="H12">
        <v>9000</v>
      </c>
    </row>
    <row r="13" spans="1:8" x14ac:dyDescent="0.35">
      <c r="A13" t="s">
        <v>132</v>
      </c>
      <c r="B13" t="s">
        <v>133</v>
      </c>
      <c r="C13" t="s">
        <v>134</v>
      </c>
      <c r="D13" t="s">
        <v>135</v>
      </c>
      <c r="E13">
        <f>234-808-777-8888</f>
        <v>-10239</v>
      </c>
      <c r="F13" t="s">
        <v>79</v>
      </c>
      <c r="G13" t="s">
        <v>80</v>
      </c>
      <c r="H13">
        <v>25000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6668E-750D-4066-8798-40D3A956FC88}">
  <sheetPr codeName="Sheet6"/>
  <dimension ref="A1:D9"/>
  <sheetViews>
    <sheetView workbookViewId="0">
      <selection activeCell="D8" sqref="D8"/>
    </sheetView>
  </sheetViews>
  <sheetFormatPr defaultRowHeight="14.5" x14ac:dyDescent="0.35"/>
  <cols>
    <col min="1" max="1" width="15.1796875" customWidth="1"/>
    <col min="2" max="2" width="14.08984375" customWidth="1"/>
    <col min="3" max="3" width="12.36328125" customWidth="1"/>
    <col min="4" max="4" width="16.1796875" customWidth="1"/>
  </cols>
  <sheetData>
    <row r="1" spans="1:4" x14ac:dyDescent="0.35">
      <c r="A1" t="s">
        <v>160</v>
      </c>
      <c r="B1" t="s">
        <v>161</v>
      </c>
      <c r="C1" t="s">
        <v>162</v>
      </c>
      <c r="D1" t="s">
        <v>163</v>
      </c>
    </row>
    <row r="2" spans="1:4" x14ac:dyDescent="0.35">
      <c r="A2" s="13">
        <v>46113.598437499997</v>
      </c>
      <c r="B2" t="s">
        <v>201</v>
      </c>
      <c r="C2">
        <v>13</v>
      </c>
      <c r="D2" t="s">
        <v>202</v>
      </c>
    </row>
    <row r="3" spans="1:4" x14ac:dyDescent="0.35">
      <c r="A3" s="13">
        <v>46113.633750000001</v>
      </c>
      <c r="B3" t="s">
        <v>201</v>
      </c>
      <c r="C3">
        <v>13</v>
      </c>
      <c r="D3" t="s">
        <v>202</v>
      </c>
    </row>
    <row r="4" spans="1:4" x14ac:dyDescent="0.35">
      <c r="A4" s="13">
        <v>46113.64534722222</v>
      </c>
      <c r="B4" t="s">
        <v>201</v>
      </c>
      <c r="C4">
        <v>13</v>
      </c>
      <c r="D4" t="s">
        <v>202</v>
      </c>
    </row>
    <row r="5" spans="1:4" x14ac:dyDescent="0.35">
      <c r="A5" s="13">
        <v>46113.646666666667</v>
      </c>
      <c r="B5" t="s">
        <v>201</v>
      </c>
      <c r="C5">
        <v>13</v>
      </c>
      <c r="D5" t="s">
        <v>202</v>
      </c>
    </row>
    <row r="6" spans="1:4" x14ac:dyDescent="0.35">
      <c r="A6" s="13">
        <v>46113.655277777776</v>
      </c>
      <c r="B6" t="s">
        <v>201</v>
      </c>
      <c r="C6">
        <v>13</v>
      </c>
      <c r="D6" t="s">
        <v>202</v>
      </c>
    </row>
    <row r="7" spans="1:4" x14ac:dyDescent="0.35">
      <c r="A7" s="13">
        <v>46113.658692129633</v>
      </c>
      <c r="B7" t="s">
        <v>201</v>
      </c>
      <c r="C7">
        <v>13</v>
      </c>
      <c r="D7" t="s">
        <v>202</v>
      </c>
    </row>
    <row r="8" spans="1:4" x14ac:dyDescent="0.35">
      <c r="A8" s="13">
        <v>46116.442395833335</v>
      </c>
      <c r="B8" t="s">
        <v>201</v>
      </c>
      <c r="C8">
        <v>13</v>
      </c>
      <c r="D8" t="s">
        <v>202</v>
      </c>
    </row>
    <row r="9" spans="1:4" x14ac:dyDescent="0.35">
      <c r="A9" s="13">
        <v>46120.599583333336</v>
      </c>
      <c r="B9" t="s">
        <v>201</v>
      </c>
      <c r="C9">
        <v>13</v>
      </c>
      <c r="D9" t="s">
        <v>202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Inventory</vt:lpstr>
      <vt:lpstr>SalesOrders</vt:lpstr>
      <vt:lpstr>Purchases</vt:lpstr>
      <vt:lpstr>Customers</vt:lpstr>
      <vt:lpstr>ErrorLog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OLUWATAYO BUKOLAMI</dc:creator>
  <cp:lastModifiedBy>OLUWATAYO BUKOLAMI</cp:lastModifiedBy>
  <dcterms:created xsi:type="dcterms:W3CDTF">2026-03-30T08:53:58Z</dcterms:created>
  <dcterms:modified xsi:type="dcterms:W3CDTF">2026-04-09T08:22:38Z</dcterms:modified>
</cp:coreProperties>
</file>